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borras\Downloads\"/>
    </mc:Choice>
  </mc:AlternateContent>
  <xr:revisionPtr revIDLastSave="0" documentId="13_ncr:1_{38695096-D7A6-4480-A1A1-0AF4A0BE9585}" xr6:coauthVersionLast="47" xr6:coauthVersionMax="47" xr10:uidLastSave="{00000000-0000-0000-0000-000000000000}"/>
  <bookViews>
    <workbookView xWindow="28680" yWindow="-120" windowWidth="29040" windowHeight="15720" activeTab="1" xr2:uid="{00000000-000D-0000-FFFF-FFFF00000000}"/>
  </bookViews>
  <sheets>
    <sheet name="Pendientes" sheetId="1" r:id="rId1"/>
    <sheet name="Hech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2" l="1"/>
  <c r="J16" i="2"/>
  <c r="K11" i="2" s="1"/>
  <c r="J15" i="2"/>
  <c r="J14" i="2"/>
  <c r="J13" i="2"/>
  <c r="J12" i="2"/>
  <c r="J11" i="2"/>
  <c r="J10" i="2"/>
  <c r="J9" i="2"/>
  <c r="J8" i="2"/>
  <c r="J7" i="2"/>
  <c r="J6" i="2"/>
  <c r="J5" i="2"/>
  <c r="J4" i="2"/>
  <c r="J3" i="2"/>
  <c r="J2" i="2"/>
  <c r="K12" i="2" l="1"/>
  <c r="K2" i="2"/>
  <c r="K3" i="2"/>
  <c r="K4" i="2"/>
  <c r="K5" i="2"/>
  <c r="K8" i="2"/>
  <c r="K15" i="2"/>
  <c r="K9" i="2"/>
  <c r="K10" i="2"/>
  <c r="K6" i="2"/>
  <c r="K7" i="2"/>
  <c r="K13" i="2"/>
  <c r="K14" i="2"/>
</calcChain>
</file>

<file path=xl/sharedStrings.xml><?xml version="1.0" encoding="utf-8"?>
<sst xmlns="http://schemas.openxmlformats.org/spreadsheetml/2006/main" count="315" uniqueCount="220">
  <si>
    <t>Nombre del Escape</t>
  </si>
  <si>
    <t>Empresa</t>
  </si>
  <si>
    <t>Ciudad</t>
  </si>
  <si>
    <t>Temática</t>
  </si>
  <si>
    <t>Tipo</t>
  </si>
  <si>
    <t>Duración</t>
  </si>
  <si>
    <t>Dificultad</t>
  </si>
  <si>
    <t>Valoración</t>
  </si>
  <si>
    <t>Web</t>
  </si>
  <si>
    <t>Max_personas</t>
  </si>
  <si>
    <t>Posición TERPECA</t>
  </si>
  <si>
    <t>Descripción</t>
  </si>
  <si>
    <t>Willy el Tuerto</t>
  </si>
  <si>
    <t>Willy el Tuerto Escape Room</t>
  </si>
  <si>
    <t>Sabadell</t>
  </si>
  <si>
    <t>Aventura inmersiva</t>
  </si>
  <si>
    <t>Media</t>
  </si>
  <si>
    <t>https://willyeltuertoescaperoom.com/</t>
  </si>
  <si>
    <t>Cybercity 2049</t>
  </si>
  <si>
    <t>Escape Barcelona</t>
  </si>
  <si>
    <t>Santa Coloma de Gramenet</t>
  </si>
  <si>
    <t>Cyberpunk / futurista</t>
  </si>
  <si>
    <t>Tecnológico inmersivo</t>
  </si>
  <si>
    <t>Media-Alta</t>
  </si>
  <si>
    <t>https://www.escapebarcelona.com/cybercity-2049.php</t>
  </si>
  <si>
    <t>Espectáculo visual de estilo Cyberpunk que te traslada a una ciudad futurista de 200m² inspirada en Blade Runner. Destaca por sus efectos especiales, puzzles tecnológicos de nueva generación y una toma de decisiones que afecta a la historia. Es una de las experiencias más ambiciosas y premiadas de Barcelona. Top 50 Mundial Terpeca. Ganador de múltiples premios nacionales a Mejor Sala, Mejor Escenografía y Mejor Experiencia.</t>
  </si>
  <si>
    <t>Exodus</t>
  </si>
  <si>
    <t>Elements Escape Room</t>
  </si>
  <si>
    <t>Barcelona</t>
  </si>
  <si>
    <t>Ciencia ficción</t>
  </si>
  <si>
    <t>Aventura tecnológica</t>
  </si>
  <si>
    <t>https://www.elementsescaperoom.com/exodus/</t>
  </si>
  <si>
    <t>Una odisea de ciencia ficción post-apocalíptica muy valorada por su narrativa absorbente y el papel clave del Game Master. Destaca por una ambientación de "calma-tensa" y un diseño de producción que recrea perfectamente una nave de evacuación. Los jugadores elogian la fluidez de sus puzzles y su carga emocional. Nominado a Mejor Inmersión y Mejor Narrativa en ránkings nacionales de expertos.</t>
  </si>
  <si>
    <t>La Mina</t>
  </si>
  <si>
    <t>Unreal Room Escape</t>
  </si>
  <si>
    <t>L'Hospitalet de Llobregat</t>
  </si>
  <si>
    <t>Exploración minera</t>
  </si>
  <si>
    <t>Aventura</t>
  </si>
  <si>
    <t>https://unrealroomescape.es/</t>
  </si>
  <si>
    <t>Aclamada como una de las experiencias más auténticas y físicas de Cataluña, ambientada en una explotación minera hiperrealista. Destaca por su inicio impactante, el uso de materiales reales (roca, hierro) y una atmósfera de tensión constante sin llegar al terror. Es un referente absoluto del género de aventura. Top 100 Mundial Terpeca. Ganador de premios a Mejor Sala de España y Mejor Inmersión.</t>
  </si>
  <si>
    <t>Distrito 111</t>
  </si>
  <si>
    <t>Espionaje / conspiración</t>
  </si>
  <si>
    <t>https://escapeup.es/escape-room/unreal/barcelona/distrito-111/</t>
  </si>
  <si>
    <t>Un thriller de supervivencia con una estética post-apocalíptica brutal que te sumerge en un mundo al borde del colapso. Los usuarios destacan su atmósfera cinematográfica, la tensión constante y una misión crítica que mantiene la adrenalina al máximo. Es una de las joyas de Escape Barcelona por su escala y detalle. Ganador de premios a Mejor Escenografía y nominado a Mejor Experiencia de Juego.</t>
  </si>
  <si>
    <t>Room Angie</t>
  </si>
  <si>
    <t>Ilusium Room Escape</t>
  </si>
  <si>
    <t>Thriller / misterio</t>
  </si>
  <si>
    <t>https://ilusiumroomescape.es/</t>
  </si>
  <si>
    <t>Un misterio trepidante de 80 minutos donde la tensión y el trabajo en equipo son los protagonistas. Destaca por una narrativa que te atrapa desde el inicio y un sistema de enigmas muy dinámico. Los jugadores elogian su final intenso y la capacidad de la sala para mantener el suspense hasta el último segundo.</t>
  </si>
  <si>
    <t>Enterprise</t>
  </si>
  <si>
    <t>Abduction Escape Rooms</t>
  </si>
  <si>
    <t>Badalona</t>
  </si>
  <si>
    <t>Nave espacial / sci-fi</t>
  </si>
  <si>
    <t>Tecnológico</t>
  </si>
  <si>
    <t>Alta</t>
  </si>
  <si>
    <t>https://www.abduction.es/badalona/abduction4.html</t>
  </si>
  <si>
    <t>Aventura tecnológica de alta velocidad que rompe con los clásicos candados para ofrecer puzzles basados en mecanismos avanzados. Destaca por requerir cierta agilidad física y por su ambientación de nave espacial impecable. Es ideal para quienes buscan una experiencia de pura adrenalina y retos modernos.</t>
  </si>
  <si>
    <t>Awaken</t>
  </si>
  <si>
    <t>Enigma Room Escape</t>
  </si>
  <si>
    <t>Fantasía / magia</t>
  </si>
  <si>
    <t>https://www.reddopamine.com/landing-aventura</t>
  </si>
  <si>
    <t>Experiencia inmersiva que mezcla magistralmente la fantasía y la magia, convirtiendo a los jugadores en protagonistas de su propia película. Destaca por un acting muy cuidado y pruebas diseñadas para fomentar la cooperación total. Los usuarios resaltan su capacidad de asombro y la belleza de sus escenarios. Ganador de premios a Mejor Acting y nominado a Mejor Sala de Fantasía.</t>
  </si>
  <si>
    <t>The Exam</t>
  </si>
  <si>
    <t>Abduction</t>
  </si>
  <si>
    <t>Thriller psicológico</t>
  </si>
  <si>
    <t>Misterio / tensión</t>
  </si>
  <si>
    <t>https://www.abduction.es/badalona/abduction3.html</t>
  </si>
  <si>
    <t>Un test de acción y aventura que pone a prueba tanto el ingenio como la condición física (subir, trepar y saltar). Es una sala sumamente divertida y dinámica que destaca por su originalidad y por hacer que los adultos vuelvan a sentirse como niños en un patio de recreo gigante.</t>
  </si>
  <si>
    <t>Jurassic Land</t>
  </si>
  <si>
    <t xml:space="preserve">Exploración </t>
  </si>
  <si>
    <t>https://www.escapebarcelona.com/jurassic-land.php</t>
  </si>
  <si>
    <t>Una aventura inmersiva ambientada en una reserva de dinosaurios. Los jugadores deben restaurar los sistemas de seguridad de la isla tras un fallo crítico. Destaca por su ambientación selvática, el uso de animatronics y por ser una sala ideal para grupos grandes y familias.</t>
  </si>
  <si>
    <t>Atlantis</t>
  </si>
  <si>
    <t>Escape World</t>
  </si>
  <si>
    <t>Ciudad perdida</t>
  </si>
  <si>
    <t>https://www.elementsescaperoom.com/atlantis/</t>
  </si>
  <si>
    <t>Un "hall escape" diseñado para grupos grandes donde el objetivo es descifrar los enigmas de una civilización sumergida. A diferencia de las salas estándar, el foco está en los puzzles y la comunicación del equipo.</t>
  </si>
  <si>
    <t>Intracorpus</t>
  </si>
  <si>
    <t>Vortexescape</t>
  </si>
  <si>
    <t>Terrassa</t>
  </si>
  <si>
    <t>Viaje al cuerpo humano</t>
  </si>
  <si>
    <t>Sci-Fi / Inmersivo</t>
  </si>
  <si>
    <t>https://vortexescape.com/reservar-ahora</t>
  </si>
  <si>
    <t>Una aventura inmersiva única de 120 minutos (2 horas) donde los jugadores realizan un viaje al interior del cuerpo humano. Es extremadamente tecnológica, de gran formato y requiere calzado cómodo para moverse. Suele aparecer en las listas de "Salas más innovadoras" por el cambio de concepto de juego</t>
  </si>
  <si>
    <t>Tomb Hunter : La Leyenda de Akasha Escape Room</t>
  </si>
  <si>
    <t>Arqueología</t>
  </si>
  <si>
    <t>Aventura / Agilidad</t>
  </si>
  <si>
    <t>https://www.escapebarcelona.com/tomb-hunter-la-leyenda-de-akasha.php</t>
  </si>
  <si>
    <t>Aventura de arqueología pura al estilo Indiana Jones. Con efectos especiales que hacen "vibrar el suelo" y una escenografía de templo antiguo, combina puzzles lógicos con pruebas físicas de agilidad y tensión.</t>
  </si>
  <si>
    <t>Alien: El Origen</t>
  </si>
  <si>
    <t>Alien / Espacio</t>
  </si>
  <si>
    <t>Sci-Fi / Acción</t>
  </si>
  <si>
    <t>https://www.escapebarcelona.com/alien-el-origen.php</t>
  </si>
  <si>
    <t>Un thriller de ciencia ficción ambientado en la nave USCSS Escape. Tras despertar de un coma inducido, los jugadores deben sobrevivir a una amenaza espacial en una sala que destaca por su opresiva y espectacular ambientación.</t>
  </si>
  <si>
    <t>Criogenic 500</t>
  </si>
  <si>
    <t>Criogenic</t>
  </si>
  <si>
    <t>Futuro / Criogenia</t>
  </si>
  <si>
    <t>Sci-Fi</t>
  </si>
  <si>
    <t>https://criogenicescaperoom.com/barcelona</t>
  </si>
  <si>
    <t>Experiencia de larga duración (2 horas) en la que los jugadores despiertan 500 años en el futuro tras ser criogenizados. Ofrece más de 140 metros cuadrados de ciencia ficción con instalaciones galardonadas.</t>
  </si>
  <si>
    <t>Katrina</t>
  </si>
  <si>
    <t>Elements</t>
  </si>
  <si>
    <t>Esplugues</t>
  </si>
  <si>
    <t>Azteca / Aventura</t>
  </si>
  <si>
    <t>Inmersivo / Aventura</t>
  </si>
  <si>
    <t>https://www.elementsescaperoom.com/katrina/</t>
  </si>
  <si>
    <t>Una expedición arqueológica de gran formato (120 minutos) en busca del oro maldito de Moctezuma. Destaca por una ambientación selvática impresionante, dimensiones muy amplias y pruebas que requieren agilidad física. Es una experiencia de 'nueva generación' donde la escenografía y los mecanismos electrónicos sustituyen por completo a los candados tradicionales. Una de las más premiadas en Cataluña por su escenografía (Premios Taty y otros ránkings de expertos).</t>
  </si>
  <si>
    <t>Outline</t>
  </si>
  <si>
    <t>Outline Escape</t>
  </si>
  <si>
    <t>Cornellà de Llobregat</t>
  </si>
  <si>
    <t>Terror / Fábrica abandonada</t>
  </si>
  <si>
    <t>Terror</t>
  </si>
  <si>
    <t>https://outlineescaperoom.es/</t>
  </si>
  <si>
    <t>Aclamado como una de las mejores experiencias de terror en España y posicionado en el Top Mundial por los premios Terpeca (Top Escape Rooms Project Enthusiasts' Choice Award). Destaca por su inmersión de 120 minutos, una ambientación industrial "de 10" y un acting intenso que a menudo divide al grupo. Los usuarios elogian sus puzles integrados, sustos constantes y una gran amplitud de salas que le han valido el reconocimiento como una de las salas más completas y premiadas del panorama actual.</t>
  </si>
  <si>
    <t>Synergo</t>
  </si>
  <si>
    <t>Synergo Escape</t>
  </si>
  <si>
    <t>Tensión / Cazadores de Brujas</t>
  </si>
  <si>
    <t>Tensión</t>
  </si>
  <si>
    <t>https://synergoescaperoom.es/</t>
  </si>
  <si>
    <t>Ganador de múltiples galardones en los Horror Awards y reconocido en los ránkings nacionales por su altísima calidad en puzles y una ambientación de fantasía oscura. Te sumerge en una caza de brujas implacable con una dificultad elevada que exige máxima cooperación. Su narrativa fluye a través de escenarios de bosque y cabaña hiperrealistas, consolidándose como un reto imprescindible que ha cosechado excelentes críticas por su diseño de producción y mecanismos originales.</t>
  </si>
  <si>
    <t>El cetro de fuego</t>
  </si>
  <si>
    <t>Aventura / Egipto</t>
  </si>
  <si>
    <t>https://www.elementsescaperoom.com/el-cetro-de-fuego/</t>
  </si>
  <si>
    <t>Una aventura de corte clásico inspirada en Egipto que ha sido premiada por su Escenografía y Ambientación en diversos certámenes nacionales. Con una duración de 75 minutos, ofrece una experiencia de exploración pura, ideal para familias, con pasadizos y cámaras secretas muy logrados. Los jugadores destacan su fluidez y la integración orgánica de los enigmas, lo que la mantiene siempre en los puestos altos de las recomendaciones de aventura de la ciudad.</t>
  </si>
  <si>
    <t>Ouija</t>
  </si>
  <si>
    <t>HorrorBox</t>
  </si>
  <si>
    <t>Terror Paranormal</t>
  </si>
  <si>
    <t>Media / Alta</t>
  </si>
  <si>
    <t>https://www.horrorbox.es/producto/ouija-escape-room/</t>
  </si>
  <si>
    <t>Creada por los maestros de HorrorBox, una de las empresas más galardonadas de España (premios a Mejor Experiencia, Mejor Acting y Trayectoria). Este referente del terror paranormal utiliza el espiritismo para crear una atmósfera opresiva de 60 minutos. Ha sido reconocida históricamente como una de las salas con mejor atmósfera de terror psicológico, destacando por sus efectos especiales y un acting inquietante que la sitúa como un clásico imbatible del género.</t>
  </si>
  <si>
    <t>Poison</t>
  </si>
  <si>
    <t>Kadabra</t>
  </si>
  <si>
    <t>Mataró</t>
  </si>
  <si>
    <t>Misterio</t>
  </si>
  <si>
    <t>https://www.kadabraescape.com/reserva-2/</t>
  </si>
  <si>
    <t>Un maníaco un tanto peculiar se ha fugado y tiene un descerebrado plan para acabar con todo Gotham, ¿seréis capaces de encontrar su guarida a tiempo y ponerle fin a esta locura? Se requiere un mínimo de habilidad física, no saltaréis por ningún lado pero sí os deberéis en algún momento agachar durante el recorrido del juego. No es un juego de terror, el sonido o la ambientación podrán confundir pero remarcamos para todos aquellos que tengáis alguna duda: No es de terror, podrá jugar todo el público.</t>
  </si>
  <si>
    <t>Achijira</t>
  </si>
  <si>
    <t>Red Dopamine</t>
  </si>
  <si>
    <t>Avenura</t>
  </si>
  <si>
    <t>https://www.reddopamine.com/landing-misterio-achijira</t>
  </si>
  <si>
    <t>Tu Misión Será recatar a los que hicieron la última expedición. Su vida está en tus manos. No es tan sencillo como parece. Las pruebas y los distintos tipos de escenarios que te encontrarán pondrán a prueba tu conocimiento. Jugar es fácil, conseguir que todo salga bien no tanto...</t>
  </si>
  <si>
    <t>Duración (min)</t>
  </si>
  <si>
    <t>Rating Escapistas</t>
  </si>
  <si>
    <t>Valoración Grupo</t>
  </si>
  <si>
    <t>Ranking</t>
  </si>
  <si>
    <t>Historia</t>
  </si>
  <si>
    <t>Ambientación</t>
  </si>
  <si>
    <t>Jugabilidad</t>
  </si>
  <si>
    <t>GameMaster</t>
  </si>
  <si>
    <t>Londium</t>
  </si>
  <si>
    <t>Saga Escape Room</t>
  </si>
  <si>
    <t>Steampunk</t>
  </si>
  <si>
    <t>https://sagaescaperoom.com/</t>
  </si>
  <si>
    <t>Inmersión cinematográfica absoluta con una estética Steampunk y victoriana impecable (niebla, olores y texturas de primer nivel). Jugada por 3 adultos y 2 niñas de 10 años en modo Tensión, resultó una experiencia redonda: las niñas fliparon desde la primera sala y el trato del Game Master fue excelente y muy cordial. Los puzzles de nueva generación están totalmente integrados en la trama, logrando un flujo de juego magnífico sin candados forzados. Una joya visual y narrativa que, gracias a su ambientación única, encantó a todo el grupo por igual.</t>
  </si>
  <si>
    <t>La Taberna</t>
  </si>
  <si>
    <t>The City Escape</t>
  </si>
  <si>
    <t>Piratas</t>
  </si>
  <si>
    <t>https://thecityescape.com/</t>
  </si>
  <si>
    <t>Aventura de alta inmersión que inicia en una taberna hiperrealista donde la interacción con el entorno y el roleo son la clave. Destaca por una escenografía brutal en la mayoría de sus salas, logrando que el equipo (3 adultos y 2 niñas de 9 años) se sienta realmente dentro de una película de fantasía. Aunque el arranque es muy original y los enigmas mecánicos están integrados, nuestra experiencia con el acting de la Game Master Tabernera no nos terminó de impactar y algún puzzle se nos hizo complicado, perdiendo fluidez en ciertos momentos. A pesar de ello, se mantiene sin duda como uno de los mejores escapes a nivel español por su despliegue visual.</t>
  </si>
  <si>
    <t>K.O.N.G. Protocol</t>
  </si>
  <si>
    <t>https://escapebarcelona.com/</t>
  </si>
  <si>
    <t>Ambientación muy cuidada y sorprendente, lo mejor del escape. Requiere algo de agilidad física. Inicio algo duro: los primeros enigmas cuestan incluso con experiencia, pero luego fluye mejor.  Gran trabajo del GM como NPC, con buena tensión durante la partida. Ojo: zona complicada para aparcar.</t>
  </si>
  <si>
    <t>Jurásico</t>
  </si>
  <si>
    <t>Golden Pop</t>
  </si>
  <si>
    <t>Dinosaurios</t>
  </si>
  <si>
    <t>Aventura familiar</t>
  </si>
  <si>
    <t>https://goldenpop.es/jurasico/</t>
  </si>
  <si>
    <t>Espectáculo visual y sensorial que recrea una selva hiperrealista bajo el centro de Barcelona. Una aventura de 120 minutos cargada de nostalgia, con una escenografía cinematográfica y efectos de sonido potentes. Jugado por 4 adultos y una niña de 9 años, destacamos el excelente acting inicial; el impacto del Game Master sobre la peque fue muy bueno y lo recuerda con mucho cariño. Es un escape dinámico con separación del grupo y una gran cantidad de juegos que garantiza que no haya momentos de parón. Ve preparado para gatear y ensuciarte con un poco de barro, ya que la vegetación se tiene que mantener. Una experiencia de 'nueva generación' de las más potentes del panorama actual.</t>
  </si>
  <si>
    <t>WHITECHAPEL</t>
  </si>
  <si>
    <t>Room Whitechapel</t>
  </si>
  <si>
    <t>Jack el Destripador</t>
  </si>
  <si>
    <t>Terror / Inmersivo</t>
  </si>
  <si>
    <t>https://www.roomwhitechapel.com/</t>
  </si>
  <si>
    <t>Un viaje asfixiante al Londres de Jack el Destripador con una de las ambientaciones más envolventes y lúgubres de Barcelona. Jugado por 6 adultos en modo Terror (también disponible en modo Aventura), resultó ser una experiencia de una intensidad arrolladora. A pesar de ser un grupo numeroso, nunca estuvimos parados, gracias a un diseño de 'calles' oscuras y laberínticas que mantiene la tensión constante. Destaca por un acting magistral y un contacto físico con los personajes que eleva la adrenalina al máximo. Una experiencia puramente cinematográfica que se sitúa, sin duda, en el top de los escapes de terror realizados.</t>
  </si>
  <si>
    <t>Catacumbas</t>
  </si>
  <si>
    <t>Alquimia / Aventuras</t>
  </si>
  <si>
    <t>https://goldenpop.es/juegos/catacumbas/</t>
  </si>
  <si>
    <t>Aventura épica inspirada en el universo de Indiana Jones que ofrece una de las puestas en escena más espectaculares de la ciudad. Jugada por 4 adultos y una niña de 9 años, resultó ser una experiencia increíble con pasadizos, puertas y salas totalmente inesperados. Destaca por sus más de 200 m² de decorados hiperrealistas y pruebas directamente basadas en las películas, logrando una atmósfera de expedición arqueológica total. Los enigmas están magistralmente integrados, priorizando mecanismos electrónicos y un trabajo cooperativo que mantiene la adrenalina alta sin necesidad de terror. Una experiencia de exploración pura donde las transiciones entre zonas dejan al grupo boquiabierto.</t>
  </si>
  <si>
    <t>Exorcista</t>
  </si>
  <si>
    <t xml:space="preserve">Terror Stories </t>
  </si>
  <si>
    <t>Exorcismo / Posesión</t>
  </si>
  <si>
    <t>https://terrorstories.com/barcelona/exorcista-escape-room</t>
  </si>
  <si>
    <t>Homenaje visceral y cinematográfico al clásico del cine de posesiones. Jugado por 5 adultos en modo Terror (disponible también modo Aventura), resultó una experiencia de una intensidad asombrosa, aunque el espacio puede sentirse algo justo para un grupo de cinco. Destaca por una ambientación lúgubre y opresiva con efectos visuales y sonoros que recrean fenómenos paranormales impactantes. El punto más fuerte es el acting increíble de los Game Masters, con una mención especial a la interpretación de 'la niña', posiblemente la mejor actuación vista jamás en un escape room. Incluye dinámicas de separación total del grupo, dejando a los jugadores solos en momentos puntuales de máxima vulnerabilidad. Una pesadilla real con una puesta en escena inolvidable.</t>
  </si>
  <si>
    <t>Jaipur</t>
  </si>
  <si>
    <t>Bollywood / India</t>
  </si>
  <si>
    <t>https://www.kadabraescape.com/el-secreto-de-jaipur/</t>
  </si>
  <si>
    <t>Fantasía pura y colorista inspirada en el folclore de la India que rompe con la estética lúgubre tradicional. Jugado por 3 adultos y 3 niñas de 10-11 años, resultó una experiencia sumamente divertida donde las pequeñas no pararon ni un segundo de resolver retos. Destaca por una escenografía vibrante y una decoración preciosa, con olores característicos que te transportan a un mercado exótico. Los puzzles son muy táctiles e ingeniosos, huyendo de los clásicos candados para centrarse en mecanismos 'mágicos' que fluyen con naturalidad. Con una historia sólida y un sorprendente giro de argumento, es un espectáculo visual cargado de buen rollo donde el asombro y el ingenio son los protagonistas.</t>
  </si>
  <si>
    <t>encryptroom</t>
  </si>
  <si>
    <t>Encrypt</t>
  </si>
  <si>
    <t>Asesino en serie</t>
  </si>
  <si>
    <t>Tensión / Inmersivo</t>
  </si>
  <si>
    <t>https://www.encryptroom.com/</t>
  </si>
  <si>
    <t>Bank of Thaqar</t>
  </si>
  <si>
    <t>MissionLeak</t>
  </si>
  <si>
    <t>Atraco / Acción</t>
  </si>
  <si>
    <t>Acción</t>
  </si>
  <si>
    <t>https://www.missionleak.com/bankofthaqar</t>
  </si>
  <si>
    <t>Referente de la 'vieja escuela' jugado originalmente en 2015. En su momento fue pionero en la temática de atracos, pero con la perspectiva actual de las salas de nueva generación, se siente una experiencia sencilla, lineal y muy basada en candados. Nota importante: Nuestra valoración se basa en la versión de hace años; desconocemos si ha recibido actualizaciones técnicas o de escenografía desde entonces. Comparado con los estándares inmersivos de 2026, palidece en espectacularidad y fluidez narrativa, quedando como una pieza de coleccionista para entender los inicios del sector. Lo hicimos 4 adultos</t>
  </si>
  <si>
    <t>Roomions</t>
  </si>
  <si>
    <t>Virus Games</t>
  </si>
  <si>
    <t>Calella</t>
  </si>
  <si>
    <t>Fiesta</t>
  </si>
  <si>
    <t>Media/Facil</t>
  </si>
  <si>
    <t>https://virusroomescape.com/es/escape-room-calella-roomions/#reserva-roomions</t>
  </si>
  <si>
    <t>Hoy hemos probado el escape room de Roomions y la experiencia ha sido muy positiva. Fuimos dos adultos y dos niños (6 y 10 años) y el juego funcionó perfecto para todos. El pequeño, en su primer escape room, participó mucho y salió encantado. La mayor, con experiencia, también lo disfrutó mucho. Es un room de tamaño contenido (una sala y media), pero muy bien aprovechado: no paras en ningún momento y todo fluye. Mención especial al Game Master, Edu (Nefario Jr.), que lo hizo genial. Muy recomendable: familiar y muy divertido.</t>
  </si>
  <si>
    <t>Tao Room Escape</t>
  </si>
  <si>
    <t>https://virusroomescape.com/es/escape-room-calella-tao/</t>
  </si>
  <si>
    <t>Visitamos Tao Room Escape Virus Games en grupo de 8 (4 adultos y 4 niños de entre 6 y 10 años, algunos ya con experiencia en escape rooms). La experiencia seguramente cambia mucho según el tamaño del grupo: en nuestro caso, las salas se nos quedaron pequeñas y con pocos enigmas para tanta gente, lo que hizo que varios participantes se quedaran sin apenas intervenir. Es una pena, porque es un escape del que nos habían hablado muy bien y le teníamos muchas ganas. Aun así, nos dejó un poco fríos. Probablemente sea más disfrutable en grupos más reducidos (3-4 personas). No descartamos darle otra oportunidad en el futuro en ese formato.</t>
  </si>
  <si>
    <t>El secreto de los Krugger</t>
  </si>
  <si>
    <t>Insomnia Corp.</t>
  </si>
  <si>
    <t>Berga</t>
  </si>
  <si>
    <t>https://www.insomniacorp.com/escapes/secreto-krugger</t>
  </si>
  <si>
    <t>Fuimos a vivir la experiencia de El Secreto de los Krugger y salimos convencidos de que una sola vez no es suficiente.
Éramos dos parejas y cogimos una habitación por pareja, así que pudimos jugar dos experiencias distintas: Xperiment y Aradia.
Xperiment nos pareció una auténtica barbaridad: enorme, súper inmersiva y muy disfrutable. Conseguimos salir en unos 70-75 minutos. Después hicimos los cuatro juntos Aradia y llegamos por los pelos… incluso teniendo que mirar alguna prueba en el papel de ayuda (sí, losers). Aun así, las dos horas volaron. Cuesta entender cómo se le puede sacar tantísimo partido a unas habitaciones. Ambientaciones brutales.
Luego llegó la cena tematizada con espectáculo, que ya fue otro nivel… y para rematar, el auténtico “escape de los escapes”: todo el hotel abierto, corriendo por pasillos, persecuciones, sustos y una tensión constante espectacular.
De los 22 juegos no conseguimos verlo todo: resolvimos unos 10 y llegaríamos a ver unos 16-18 aproximadamente.
Sinceramente, dudo que podamos vivir una experiencia de terror mejor que la que ofrece Krugger. Una auténtica pasada.</t>
  </si>
  <si>
    <t>Piratas / tesoro / Goonies</t>
  </si>
  <si>
    <t>Este fin de semana visitamos **Willy el Tuerto** en familia (2 adultos y dos peques de 10 y 6 años) y lo pasamos en grande.
Un consejo: si podéis, ved **Los Goonies** unos días antes. Nosotros lo hicimos y ayuda muchísimo a entrar en el ambiente y disfrutar de todos los guiños que esconde el juego.
La ambientación está muy conseguida, especialmente teniendo en cuenta que es una sala con unos años a sus espaldas. Está llena de referencias a la película y transmite perfectamente ese espíritu de aventura y búsqueda del tesoro.
En cuanto a jugadores, para nosotros 4 personas fue el número ideal. Todos participamos activamente en las pruebas y nadie se quedó mirando. Con grupos más grandes quizá podría quedarse algo corto.
Entre la introducción, la partida y la charla final con el GM estuvimos cerca de una hora y media disfrutando de la experiencia.
Un escape room muy recomendable para familias y para cualquier fan de **Los Goonies**. ¡Los Goonies nunca dicen muerto!</t>
  </si>
  <si>
    <t>Visitamos Nightshift en Sabadell y salimos encantados. Fuimos 4 adultos, dos de ellos con más de 50 escapes a sus espaldas, y aun así ha conseguido entrar directamente en nuestro TOP de salas.
Una experiencia muy inmersiva, con momentos de tensión, situaciones de soledad, pruebas de valentía y alguna sorpresa que no habíamos visto en ningún otro escape room. Los juegos de luces, la música, los efectos y la ambientación están perfectamente medidos para mantener la tensión durante toda la partida. Esos pasillos largos y oscuros, las puertas cerradas... o quizá no tanto... hacen que nunca te relajes del todo.
Las 2 horas de juego se nos pasaron volando.
Mención especial para nuestra GM, Laura, que estuvo fantástica de principio a fin. Muy amable, totalmente implicada en la experiencia y con una charla final genial. Toda una artista.
Además, al estar ubicado en un polígono industrial, aparcar es muy fácil.
Si os gustan las experiencias inmersivas y las emociones fuertes, Nightshift es una apuesta segura.</t>
  </si>
  <si>
    <t>Nightshift</t>
  </si>
  <si>
    <t>Crupont Legacy</t>
  </si>
  <si>
    <t>8.62</t>
  </si>
  <si>
    <t>https://www.crupontlegacy.com/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</si>
</sst>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7">
    <font>
      <sz val="10"/>
      <color rgb="FF000000"/>
      <name val="Arial"/>
      <scheme val="minor"/>
    </font>
    <font>
      <sz val="11"/>
      <color rgb="FF000000"/>
      <name val="Calibri"/>
    </font>
    <font>
      <sz val="10"/>
      <color theme="1"/>
      <name val="Arial"/>
      <scheme val="minor"/>
    </font>
    <font>
      <u/>
      <sz val="11"/>
      <color rgb="FF0000FF"/>
      <name val="Calibri"/>
    </font>
    <font>
      <u/>
      <sz val="11"/>
      <color rgb="FF000000"/>
      <name val="Calibri"/>
    </font>
    <font>
      <i/>
      <sz val="10"/>
      <color theme="1"/>
      <name val="Arial"/>
      <scheme val="minor"/>
    </font>
    <font>
      <sz val="11"/>
      <color theme="1"/>
      <name val="Calibri"/>
    </font>
    <font>
      <u/>
      <sz val="11"/>
      <color rgb="FF0000FF"/>
      <name val="Calibri"/>
    </font>
    <font>
      <b/>
      <sz val="10"/>
      <color theme="1"/>
      <name val="&quot;Google Sans Text&quot;"/>
    </font>
    <font>
      <sz val="10"/>
      <color theme="1"/>
      <name val="&quot;Google Sans Text&quot;"/>
    </font>
    <font>
      <u/>
      <sz val="10"/>
      <color rgb="FF0000FF"/>
      <name val="&quot;Google Sans Text&quot;"/>
    </font>
    <font>
      <u/>
      <sz val="10"/>
      <color rgb="FF0000FF"/>
      <name val="Arial"/>
    </font>
    <font>
      <b/>
      <sz val="10"/>
      <color rgb="FF1F1F1F"/>
      <name val="&quot;Google Sans Text&quot;"/>
    </font>
    <font>
      <sz val="10"/>
      <color rgb="FF1F1F1F"/>
      <name val="&quot;Google Sans Text&quot;"/>
    </font>
    <font>
      <u/>
      <sz val="10"/>
      <color rgb="FF0000FF"/>
      <name val="Arial"/>
    </font>
    <font>
      <b/>
      <sz val="11"/>
      <color theme="1"/>
      <name val="Calibri"/>
    </font>
    <font>
      <u/>
      <sz val="10"/>
      <color theme="10"/>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6" fillId="0" borderId="0" applyNumberFormat="0" applyFill="0" applyBorder="0" applyAlignment="0" applyProtection="0"/>
  </cellStyleXfs>
  <cellXfs count="24">
    <xf numFmtId="0" fontId="0" fillId="0" borderId="0" xfId="0"/>
    <xf numFmtId="0" fontId="1" fillId="0" borderId="0" xfId="0" applyFont="1"/>
    <xf numFmtId="0" fontId="2" fillId="0" borderId="0" xfId="0" applyFont="1"/>
    <xf numFmtId="0" fontId="1" fillId="0" borderId="0" xfId="0" applyFont="1" applyAlignment="1">
      <alignment horizontal="right"/>
    </xf>
    <xf numFmtId="164" fontId="1" fillId="0" borderId="0" xfId="0" applyNumberFormat="1" applyFont="1" applyAlignment="1">
      <alignment horizontal="right"/>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164" fontId="9" fillId="0" borderId="0" xfId="0" applyNumberFormat="1" applyFont="1"/>
    <xf numFmtId="0" fontId="10" fillId="0" borderId="0" xfId="0" applyFont="1"/>
    <xf numFmtId="0" fontId="11" fillId="0" borderId="0" xfId="0" applyFont="1"/>
    <xf numFmtId="164" fontId="12" fillId="0" borderId="0" xfId="0" applyNumberFormat="1" applyFont="1"/>
    <xf numFmtId="0" fontId="13" fillId="0" borderId="0" xfId="0" applyFont="1"/>
    <xf numFmtId="164" fontId="2" fillId="0" borderId="0" xfId="0" applyNumberFormat="1" applyFont="1"/>
    <xf numFmtId="0" fontId="14" fillId="0" borderId="0" xfId="0" applyFont="1"/>
    <xf numFmtId="0" fontId="12" fillId="0" borderId="0" xfId="0" applyFont="1"/>
    <xf numFmtId="0" fontId="15" fillId="0" borderId="1" xfId="0" applyFont="1" applyBorder="1" applyAlignment="1">
      <alignment horizontal="center" vertical="top"/>
    </xf>
    <xf numFmtId="0" fontId="16" fillId="0" borderId="0" xfId="1" applyAlignment="1"/>
    <xf numFmtId="0" fontId="0" fillId="0" borderId="0" xfId="0" applyAlignment="1">
      <alignment wrapText="1"/>
    </xf>
    <xf numFmtId="0" fontId="16"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bduction.es/badalona/abduction3.html" TargetMode="External"/><Relationship Id="rId13" Type="http://schemas.openxmlformats.org/officeDocument/2006/relationships/hyperlink" Target="https://www.escapebarcelona.com/alien-el-origen.php" TargetMode="External"/><Relationship Id="rId18" Type="http://schemas.openxmlformats.org/officeDocument/2006/relationships/hyperlink" Target="https://www.elementsescaperoom.com/el-cetro-de-fuego/" TargetMode="External"/><Relationship Id="rId3" Type="http://schemas.openxmlformats.org/officeDocument/2006/relationships/hyperlink" Target="https://unrealroomescape.es/" TargetMode="External"/><Relationship Id="rId21" Type="http://schemas.openxmlformats.org/officeDocument/2006/relationships/hyperlink" Target="https://www.reddopamine.com/landing-misterio-achijira" TargetMode="External"/><Relationship Id="rId7" Type="http://schemas.openxmlformats.org/officeDocument/2006/relationships/hyperlink" Target="https://www.reddopamine.com/landing-aventura" TargetMode="External"/><Relationship Id="rId12" Type="http://schemas.openxmlformats.org/officeDocument/2006/relationships/hyperlink" Target="https://www.escapebarcelona.com/tomb-hunter-la-leyenda-de-akasha.php" TargetMode="External"/><Relationship Id="rId17" Type="http://schemas.openxmlformats.org/officeDocument/2006/relationships/hyperlink" Target="https://synergoescaperoom.es/" TargetMode="External"/><Relationship Id="rId2" Type="http://schemas.openxmlformats.org/officeDocument/2006/relationships/hyperlink" Target="https://www.elementsescaperoom.com/exodus/" TargetMode="External"/><Relationship Id="rId16" Type="http://schemas.openxmlformats.org/officeDocument/2006/relationships/hyperlink" Target="https://outlineescaperoom.es/" TargetMode="External"/><Relationship Id="rId20" Type="http://schemas.openxmlformats.org/officeDocument/2006/relationships/hyperlink" Target="https://www.kadabraescape.com/reserva-2/" TargetMode="External"/><Relationship Id="rId1" Type="http://schemas.openxmlformats.org/officeDocument/2006/relationships/hyperlink" Target="https://www.escapebarcelona.com/cybercity-2049.php" TargetMode="External"/><Relationship Id="rId6" Type="http://schemas.openxmlformats.org/officeDocument/2006/relationships/hyperlink" Target="https://www.abduction.es/badalona/abduction4.html" TargetMode="External"/><Relationship Id="rId11" Type="http://schemas.openxmlformats.org/officeDocument/2006/relationships/hyperlink" Target="https://vortexescape.com/reservar-ahora" TargetMode="External"/><Relationship Id="rId5" Type="http://schemas.openxmlformats.org/officeDocument/2006/relationships/hyperlink" Target="https://ilusiumroomescape.es/" TargetMode="External"/><Relationship Id="rId15" Type="http://schemas.openxmlformats.org/officeDocument/2006/relationships/hyperlink" Target="https://www.elementsescaperoom.com/katrina/" TargetMode="External"/><Relationship Id="rId10" Type="http://schemas.openxmlformats.org/officeDocument/2006/relationships/hyperlink" Target="https://www.elementsescaperoom.com/atlantis/" TargetMode="External"/><Relationship Id="rId19" Type="http://schemas.openxmlformats.org/officeDocument/2006/relationships/hyperlink" Target="https://www.horrorbox.es/producto/ouija-escape-room/" TargetMode="External"/><Relationship Id="rId4" Type="http://schemas.openxmlformats.org/officeDocument/2006/relationships/hyperlink" Target="https://escapeup.es/escape-room/unreal/barcelona/distrito-111/" TargetMode="External"/><Relationship Id="rId9" Type="http://schemas.openxmlformats.org/officeDocument/2006/relationships/hyperlink" Target="https://www.escapebarcelona.com/jurassic-land.php" TargetMode="External"/><Relationship Id="rId14" Type="http://schemas.openxmlformats.org/officeDocument/2006/relationships/hyperlink" Target="https://criogenicescaperoom.com/barcelon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dabraescape.com/el-secreto-de-jaipur/" TargetMode="External"/><Relationship Id="rId13" Type="http://schemas.openxmlformats.org/officeDocument/2006/relationships/hyperlink" Target="https://www.insomniacorp.com/escapes/secreto-krugger" TargetMode="External"/><Relationship Id="rId3" Type="http://schemas.openxmlformats.org/officeDocument/2006/relationships/hyperlink" Target="https://escapebarcelona.com/" TargetMode="External"/><Relationship Id="rId7" Type="http://schemas.openxmlformats.org/officeDocument/2006/relationships/hyperlink" Target="https://terrorstories.com/barcelona/exorcista-escape-room" TargetMode="External"/><Relationship Id="rId12" Type="http://schemas.openxmlformats.org/officeDocument/2006/relationships/hyperlink" Target="https://virusroomescape.com/es/escape-room-calella-tao/" TargetMode="External"/><Relationship Id="rId2" Type="http://schemas.openxmlformats.org/officeDocument/2006/relationships/hyperlink" Target="https://thecityescape.com/" TargetMode="External"/><Relationship Id="rId1" Type="http://schemas.openxmlformats.org/officeDocument/2006/relationships/hyperlink" Target="https://sagaescaperoom.com/" TargetMode="External"/><Relationship Id="rId6" Type="http://schemas.openxmlformats.org/officeDocument/2006/relationships/hyperlink" Target="https://goldenpop.es/juegos/catacumbas/" TargetMode="External"/><Relationship Id="rId11" Type="http://schemas.openxmlformats.org/officeDocument/2006/relationships/hyperlink" Target="https://virusroomescape.com/es/escape-room-calella-roomions/" TargetMode="External"/><Relationship Id="rId5" Type="http://schemas.openxmlformats.org/officeDocument/2006/relationships/hyperlink" Target="https://www.roomwhitechapel.com/" TargetMode="External"/><Relationship Id="rId15" Type="http://schemas.openxmlformats.org/officeDocument/2006/relationships/hyperlink" Target="https://www.crupontlegacy.com/" TargetMode="External"/><Relationship Id="rId10" Type="http://schemas.openxmlformats.org/officeDocument/2006/relationships/hyperlink" Target="https://www.missionleak.com/bankofthaqar" TargetMode="External"/><Relationship Id="rId4" Type="http://schemas.openxmlformats.org/officeDocument/2006/relationships/hyperlink" Target="https://goldenpop.es/jurasico/" TargetMode="External"/><Relationship Id="rId9" Type="http://schemas.openxmlformats.org/officeDocument/2006/relationships/hyperlink" Target="https://www.encryptroom.com/" TargetMode="External"/><Relationship Id="rId14" Type="http://schemas.openxmlformats.org/officeDocument/2006/relationships/hyperlink" Target="https://willyeltuertoescaperoo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9"/>
  <sheetViews>
    <sheetView topLeftCell="L1" workbookViewId="0">
      <selection activeCell="L23" sqref="L23"/>
    </sheetView>
  </sheetViews>
  <sheetFormatPr baseColWidth="10" defaultColWidth="12.7109375" defaultRowHeight="15.75" customHeight="1"/>
  <cols>
    <col min="1" max="1" width="53.85546875" customWidth="1"/>
    <col min="2" max="2" width="24" customWidth="1"/>
    <col min="3" max="3" width="7.28515625" customWidth="1"/>
    <col min="4" max="4" width="8.7109375" customWidth="1"/>
    <col min="6" max="6" width="6.140625" customWidth="1"/>
    <col min="7" max="7" width="17.5703125" customWidth="1"/>
    <col min="8" max="8" width="8.7109375" customWidth="1"/>
    <col min="9" max="9" width="61.7109375" customWidth="1"/>
    <col min="10" max="10" width="13.85546875" customWidth="1"/>
    <col min="11" max="11" width="11.28515625" customWidth="1"/>
    <col min="12" max="12" width="370.42578125" customWidth="1"/>
    <col min="13" max="13" width="145.28515625" customWidth="1"/>
  </cols>
  <sheetData>
    <row r="1" spans="1:12" ht="15.75" customHeight="1">
      <c r="A1" s="1" t="s">
        <v>0</v>
      </c>
      <c r="B1" s="1" t="s">
        <v>1</v>
      </c>
      <c r="C1" s="1" t="s">
        <v>2</v>
      </c>
      <c r="D1" s="1" t="s">
        <v>3</v>
      </c>
      <c r="E1" s="1" t="s">
        <v>4</v>
      </c>
      <c r="F1" s="1" t="s">
        <v>5</v>
      </c>
      <c r="G1" s="1" t="s">
        <v>6</v>
      </c>
      <c r="H1" s="1" t="s">
        <v>7</v>
      </c>
      <c r="I1" s="1" t="s">
        <v>8</v>
      </c>
      <c r="J1" s="1" t="s">
        <v>9</v>
      </c>
      <c r="K1" s="2" t="s">
        <v>10</v>
      </c>
      <c r="L1" s="1" t="s">
        <v>11</v>
      </c>
    </row>
    <row r="2" spans="1:12" ht="15.75" customHeight="1">
      <c r="A2" s="1" t="s">
        <v>18</v>
      </c>
      <c r="B2" s="1" t="s">
        <v>19</v>
      </c>
      <c r="C2" s="1" t="s">
        <v>20</v>
      </c>
      <c r="D2" s="1" t="s">
        <v>21</v>
      </c>
      <c r="E2" s="1" t="s">
        <v>22</v>
      </c>
      <c r="F2" s="3">
        <v>120</v>
      </c>
      <c r="G2" s="1" t="s">
        <v>23</v>
      </c>
      <c r="H2" s="4">
        <v>46090</v>
      </c>
      <c r="I2" s="6" t="s">
        <v>24</v>
      </c>
      <c r="J2" s="1">
        <v>6</v>
      </c>
      <c r="K2" s="7">
        <v>55</v>
      </c>
      <c r="L2" s="7" t="s">
        <v>25</v>
      </c>
    </row>
    <row r="3" spans="1:12" ht="15.75" customHeight="1">
      <c r="A3" s="1" t="s">
        <v>26</v>
      </c>
      <c r="B3" s="1" t="s">
        <v>27</v>
      </c>
      <c r="C3" s="1" t="s">
        <v>28</v>
      </c>
      <c r="D3" s="1" t="s">
        <v>29</v>
      </c>
      <c r="E3" s="1" t="s">
        <v>30</v>
      </c>
      <c r="F3" s="3">
        <v>90</v>
      </c>
      <c r="G3" s="1" t="s">
        <v>23</v>
      </c>
      <c r="H3" s="4">
        <v>46273</v>
      </c>
      <c r="I3" s="6" t="s">
        <v>31</v>
      </c>
      <c r="J3" s="1">
        <v>6</v>
      </c>
      <c r="K3" s="2"/>
      <c r="L3" s="2" t="s">
        <v>32</v>
      </c>
    </row>
    <row r="4" spans="1:12" ht="15.75" customHeight="1">
      <c r="A4" s="1" t="s">
        <v>33</v>
      </c>
      <c r="B4" s="1" t="s">
        <v>34</v>
      </c>
      <c r="C4" s="1" t="s">
        <v>35</v>
      </c>
      <c r="D4" s="1" t="s">
        <v>36</v>
      </c>
      <c r="E4" s="1" t="s">
        <v>37</v>
      </c>
      <c r="F4" s="3">
        <v>90</v>
      </c>
      <c r="G4" s="1" t="s">
        <v>16</v>
      </c>
      <c r="H4" s="4">
        <v>46211</v>
      </c>
      <c r="I4" s="6" t="s">
        <v>38</v>
      </c>
      <c r="J4" s="1">
        <v>7</v>
      </c>
      <c r="K4" s="2">
        <v>78</v>
      </c>
      <c r="L4" s="2" t="s">
        <v>39</v>
      </c>
    </row>
    <row r="5" spans="1:12" ht="15.75" customHeight="1">
      <c r="A5" s="1" t="s">
        <v>40</v>
      </c>
      <c r="B5" s="1" t="s">
        <v>19</v>
      </c>
      <c r="C5" s="1" t="s">
        <v>28</v>
      </c>
      <c r="D5" s="1" t="s">
        <v>41</v>
      </c>
      <c r="E5" s="1" t="s">
        <v>15</v>
      </c>
      <c r="F5" s="3">
        <v>90</v>
      </c>
      <c r="G5" s="1" t="s">
        <v>23</v>
      </c>
      <c r="H5" s="4">
        <v>46150</v>
      </c>
      <c r="I5" s="5" t="s">
        <v>42</v>
      </c>
      <c r="J5" s="1">
        <v>7</v>
      </c>
      <c r="K5" s="2"/>
      <c r="L5" s="2" t="s">
        <v>43</v>
      </c>
    </row>
    <row r="6" spans="1:12" ht="15.75" customHeight="1">
      <c r="A6" s="1" t="s">
        <v>44</v>
      </c>
      <c r="B6" s="1" t="s">
        <v>45</v>
      </c>
      <c r="C6" s="1" t="s">
        <v>28</v>
      </c>
      <c r="D6" s="1" t="s">
        <v>46</v>
      </c>
      <c r="E6" s="1" t="s">
        <v>37</v>
      </c>
      <c r="F6" s="3">
        <v>120</v>
      </c>
      <c r="G6" s="1" t="s">
        <v>16</v>
      </c>
      <c r="H6" s="4">
        <v>46241</v>
      </c>
      <c r="I6" s="6" t="s">
        <v>47</v>
      </c>
      <c r="J6" s="1">
        <v>8</v>
      </c>
      <c r="K6" s="2"/>
      <c r="L6" s="2" t="s">
        <v>48</v>
      </c>
    </row>
    <row r="7" spans="1:12" ht="15.75" customHeight="1">
      <c r="A7" s="1" t="s">
        <v>49</v>
      </c>
      <c r="B7" s="1" t="s">
        <v>50</v>
      </c>
      <c r="C7" s="1" t="s">
        <v>51</v>
      </c>
      <c r="D7" s="1" t="s">
        <v>52</v>
      </c>
      <c r="E7" s="1" t="s">
        <v>53</v>
      </c>
      <c r="F7" s="3">
        <v>90</v>
      </c>
      <c r="G7" s="1" t="s">
        <v>54</v>
      </c>
      <c r="H7" s="4">
        <v>46149</v>
      </c>
      <c r="I7" s="6" t="s">
        <v>55</v>
      </c>
      <c r="J7" s="1">
        <v>10</v>
      </c>
      <c r="K7" s="2"/>
      <c r="L7" s="2" t="s">
        <v>56</v>
      </c>
    </row>
    <row r="8" spans="1:12" ht="15.75" customHeight="1">
      <c r="A8" s="1" t="s">
        <v>57</v>
      </c>
      <c r="B8" s="1" t="s">
        <v>58</v>
      </c>
      <c r="C8" s="1" t="s">
        <v>28</v>
      </c>
      <c r="D8" s="1" t="s">
        <v>59</v>
      </c>
      <c r="E8" s="1" t="s">
        <v>15</v>
      </c>
      <c r="F8" s="3">
        <v>90</v>
      </c>
      <c r="G8" s="1" t="s">
        <v>23</v>
      </c>
      <c r="H8" s="4">
        <v>46061</v>
      </c>
      <c r="I8" s="6" t="s">
        <v>60</v>
      </c>
      <c r="J8" s="1">
        <v>7</v>
      </c>
      <c r="K8" s="2"/>
      <c r="L8" s="2" t="s">
        <v>61</v>
      </c>
    </row>
    <row r="9" spans="1:12" ht="15.75" customHeight="1">
      <c r="A9" s="1" t="s">
        <v>62</v>
      </c>
      <c r="B9" s="1" t="s">
        <v>63</v>
      </c>
      <c r="C9" s="1" t="s">
        <v>51</v>
      </c>
      <c r="D9" s="1" t="s">
        <v>64</v>
      </c>
      <c r="E9" s="1" t="s">
        <v>65</v>
      </c>
      <c r="F9" s="3">
        <v>90</v>
      </c>
      <c r="G9" s="1" t="s">
        <v>54</v>
      </c>
      <c r="H9" s="4">
        <v>46030</v>
      </c>
      <c r="I9" s="6" t="s">
        <v>66</v>
      </c>
      <c r="J9" s="1">
        <v>6</v>
      </c>
      <c r="K9" s="2"/>
      <c r="L9" s="2" t="s">
        <v>67</v>
      </c>
    </row>
    <row r="10" spans="1:12" ht="15.75" customHeight="1">
      <c r="A10" s="8" t="s">
        <v>68</v>
      </c>
      <c r="B10" s="1" t="s">
        <v>19</v>
      </c>
      <c r="C10" s="1" t="s">
        <v>28</v>
      </c>
      <c r="D10" s="1" t="s">
        <v>69</v>
      </c>
      <c r="E10" s="1" t="s">
        <v>37</v>
      </c>
      <c r="F10" s="3">
        <v>60</v>
      </c>
      <c r="G10" s="1" t="s">
        <v>16</v>
      </c>
      <c r="H10" s="3">
        <v>6</v>
      </c>
      <c r="I10" s="6" t="s">
        <v>70</v>
      </c>
      <c r="J10" s="1">
        <v>10</v>
      </c>
      <c r="K10" s="1"/>
      <c r="L10" s="1" t="s">
        <v>71</v>
      </c>
    </row>
    <row r="11" spans="1:12" ht="15.75" customHeight="1">
      <c r="A11" s="1" t="s">
        <v>72</v>
      </c>
      <c r="B11" s="1" t="s">
        <v>73</v>
      </c>
      <c r="C11" s="1" t="s">
        <v>28</v>
      </c>
      <c r="D11" s="1" t="s">
        <v>74</v>
      </c>
      <c r="E11" s="1" t="s">
        <v>37</v>
      </c>
      <c r="F11" s="3">
        <v>75</v>
      </c>
      <c r="G11" s="1" t="s">
        <v>16</v>
      </c>
      <c r="H11" s="4">
        <v>46061</v>
      </c>
      <c r="I11" s="6" t="s">
        <v>75</v>
      </c>
      <c r="J11" s="1">
        <v>12</v>
      </c>
      <c r="K11" s="1"/>
      <c r="L11" s="1" t="s">
        <v>76</v>
      </c>
    </row>
    <row r="12" spans="1:12" ht="15.75" customHeight="1">
      <c r="A12" s="1" t="s">
        <v>77</v>
      </c>
      <c r="B12" s="1" t="s">
        <v>78</v>
      </c>
      <c r="C12" s="1" t="s">
        <v>79</v>
      </c>
      <c r="D12" s="1" t="s">
        <v>80</v>
      </c>
      <c r="E12" s="1" t="s">
        <v>81</v>
      </c>
      <c r="F12" s="3">
        <v>120</v>
      </c>
      <c r="G12" s="1" t="s">
        <v>23</v>
      </c>
      <c r="H12" s="4">
        <v>46090</v>
      </c>
      <c r="I12" s="9" t="s">
        <v>82</v>
      </c>
      <c r="J12" s="1">
        <v>7</v>
      </c>
      <c r="K12" s="1"/>
      <c r="L12" s="1" t="s">
        <v>83</v>
      </c>
    </row>
    <row r="13" spans="1:12" ht="15.75" customHeight="1">
      <c r="A13" s="2" t="s">
        <v>84</v>
      </c>
      <c r="B13" s="1" t="s">
        <v>19</v>
      </c>
      <c r="C13" s="1" t="s">
        <v>28</v>
      </c>
      <c r="D13" s="1" t="s">
        <v>85</v>
      </c>
      <c r="E13" s="1" t="s">
        <v>86</v>
      </c>
      <c r="F13" s="3">
        <v>80</v>
      </c>
      <c r="G13" s="1" t="s">
        <v>16</v>
      </c>
      <c r="H13" s="3">
        <v>7</v>
      </c>
      <c r="I13" s="6" t="s">
        <v>87</v>
      </c>
      <c r="J13" s="2">
        <v>6</v>
      </c>
      <c r="K13" s="1"/>
      <c r="L13" s="1" t="s">
        <v>88</v>
      </c>
    </row>
    <row r="14" spans="1:12" ht="15.75" customHeight="1">
      <c r="A14" s="1" t="s">
        <v>89</v>
      </c>
      <c r="B14" s="1" t="s">
        <v>19</v>
      </c>
      <c r="C14" s="1" t="s">
        <v>20</v>
      </c>
      <c r="D14" s="1" t="s">
        <v>90</v>
      </c>
      <c r="E14" s="1" t="s">
        <v>91</v>
      </c>
      <c r="F14" s="3">
        <v>80</v>
      </c>
      <c r="G14" s="1" t="s">
        <v>16</v>
      </c>
      <c r="H14" s="4">
        <v>46150</v>
      </c>
      <c r="I14" s="6" t="s">
        <v>92</v>
      </c>
      <c r="J14" s="1">
        <v>10</v>
      </c>
      <c r="K14" s="1"/>
      <c r="L14" s="1" t="s">
        <v>93</v>
      </c>
    </row>
    <row r="15" spans="1:12" ht="15.75" customHeight="1">
      <c r="A15" s="1" t="s">
        <v>94</v>
      </c>
      <c r="B15" s="1" t="s">
        <v>95</v>
      </c>
      <c r="C15" s="1" t="s">
        <v>28</v>
      </c>
      <c r="D15" s="1" t="s">
        <v>96</v>
      </c>
      <c r="E15" s="1" t="s">
        <v>97</v>
      </c>
      <c r="F15" s="3">
        <v>120</v>
      </c>
      <c r="G15" s="1" t="s">
        <v>54</v>
      </c>
      <c r="H15" s="4">
        <v>46150</v>
      </c>
      <c r="I15" s="6" t="s">
        <v>98</v>
      </c>
      <c r="J15" s="1">
        <v>8</v>
      </c>
      <c r="K15" s="1"/>
      <c r="L15" s="1" t="s">
        <v>99</v>
      </c>
    </row>
    <row r="16" spans="1:12" ht="15.75" customHeight="1">
      <c r="A16" s="10" t="s">
        <v>100</v>
      </c>
      <c r="B16" s="11" t="s">
        <v>101</v>
      </c>
      <c r="C16" s="11" t="s">
        <v>102</v>
      </c>
      <c r="D16" s="11" t="s">
        <v>103</v>
      </c>
      <c r="E16" s="11" t="s">
        <v>104</v>
      </c>
      <c r="F16" s="11">
        <v>120</v>
      </c>
      <c r="G16" s="11" t="s">
        <v>23</v>
      </c>
      <c r="H16" s="12">
        <v>46212</v>
      </c>
      <c r="I16" s="13" t="s">
        <v>105</v>
      </c>
      <c r="J16" s="2">
        <v>6</v>
      </c>
      <c r="K16" s="1">
        <v>19</v>
      </c>
      <c r="L16" s="1" t="s">
        <v>106</v>
      </c>
    </row>
    <row r="17" spans="1:12" ht="15.75" customHeight="1">
      <c r="A17" s="2" t="s">
        <v>107</v>
      </c>
      <c r="B17" s="2" t="s">
        <v>108</v>
      </c>
      <c r="C17" s="2" t="s">
        <v>109</v>
      </c>
      <c r="D17" s="2" t="s">
        <v>110</v>
      </c>
      <c r="E17" s="2" t="s">
        <v>111</v>
      </c>
      <c r="F17" s="2">
        <v>120</v>
      </c>
      <c r="G17" s="11" t="s">
        <v>23</v>
      </c>
      <c r="H17" s="12">
        <v>46243</v>
      </c>
      <c r="I17" s="14" t="s">
        <v>112</v>
      </c>
      <c r="J17" s="2">
        <v>6</v>
      </c>
      <c r="K17" s="2">
        <v>12</v>
      </c>
      <c r="L17" s="1" t="s">
        <v>113</v>
      </c>
    </row>
    <row r="18" spans="1:12" ht="15.75" customHeight="1">
      <c r="A18" s="2" t="s">
        <v>114</v>
      </c>
      <c r="B18" s="2" t="s">
        <v>115</v>
      </c>
      <c r="C18" s="2" t="s">
        <v>109</v>
      </c>
      <c r="D18" s="2" t="s">
        <v>116</v>
      </c>
      <c r="E18" s="2" t="s">
        <v>117</v>
      </c>
      <c r="F18" s="2">
        <v>80</v>
      </c>
      <c r="G18" s="1" t="s">
        <v>54</v>
      </c>
      <c r="H18" s="15">
        <v>46182</v>
      </c>
      <c r="I18" s="14" t="s">
        <v>118</v>
      </c>
      <c r="J18" s="2">
        <v>7</v>
      </c>
      <c r="K18" s="1">
        <v>113</v>
      </c>
      <c r="L18" s="1" t="s">
        <v>119</v>
      </c>
    </row>
    <row r="19" spans="1:12" ht="15.75" customHeight="1">
      <c r="A19" s="2" t="s">
        <v>120</v>
      </c>
      <c r="B19" s="2" t="s">
        <v>101</v>
      </c>
      <c r="C19" s="2" t="s">
        <v>28</v>
      </c>
      <c r="D19" s="16" t="s">
        <v>121</v>
      </c>
      <c r="E19" s="1" t="s">
        <v>37</v>
      </c>
      <c r="F19" s="2">
        <v>75</v>
      </c>
      <c r="G19" s="16" t="s">
        <v>16</v>
      </c>
      <c r="H19" s="15">
        <v>46062</v>
      </c>
      <c r="I19" s="14" t="s">
        <v>122</v>
      </c>
      <c r="J19" s="2">
        <v>6</v>
      </c>
      <c r="K19" s="1"/>
      <c r="L19" s="1" t="s">
        <v>123</v>
      </c>
    </row>
    <row r="20" spans="1:12" ht="15.75" customHeight="1">
      <c r="A20" s="2" t="s">
        <v>124</v>
      </c>
      <c r="B20" s="2" t="s">
        <v>125</v>
      </c>
      <c r="C20" s="2" t="s">
        <v>28</v>
      </c>
      <c r="D20" s="16" t="s">
        <v>126</v>
      </c>
      <c r="E20" s="2" t="s">
        <v>111</v>
      </c>
      <c r="F20" s="2">
        <v>75</v>
      </c>
      <c r="G20" s="16" t="s">
        <v>127</v>
      </c>
      <c r="H20" s="15">
        <v>46121</v>
      </c>
      <c r="I20" s="14" t="s">
        <v>128</v>
      </c>
      <c r="J20" s="2">
        <v>6</v>
      </c>
      <c r="K20" s="1"/>
      <c r="L20" s="1" t="s">
        <v>129</v>
      </c>
    </row>
    <row r="21" spans="1:12" ht="15.75" customHeight="1">
      <c r="A21" s="2" t="s">
        <v>130</v>
      </c>
      <c r="B21" s="1" t="s">
        <v>131</v>
      </c>
      <c r="C21" s="1" t="s">
        <v>132</v>
      </c>
      <c r="D21" s="2" t="s">
        <v>37</v>
      </c>
      <c r="E21" s="2" t="s">
        <v>133</v>
      </c>
      <c r="F21" s="2">
        <v>80</v>
      </c>
      <c r="G21" s="16" t="s">
        <v>16</v>
      </c>
      <c r="H21" s="17">
        <v>46212</v>
      </c>
      <c r="I21" s="18" t="s">
        <v>134</v>
      </c>
      <c r="J21" s="2">
        <v>7</v>
      </c>
      <c r="K21" s="2">
        <v>95</v>
      </c>
      <c r="L21" s="2" t="s">
        <v>135</v>
      </c>
    </row>
    <row r="22" spans="1:12" ht="12.75">
      <c r="A22" s="2" t="s">
        <v>136</v>
      </c>
      <c r="B22" s="2" t="s">
        <v>137</v>
      </c>
      <c r="D22" s="2" t="s">
        <v>133</v>
      </c>
      <c r="E22" s="2" t="s">
        <v>138</v>
      </c>
      <c r="F22" s="2">
        <v>105</v>
      </c>
      <c r="G22" s="2" t="s">
        <v>16</v>
      </c>
      <c r="H22" s="2">
        <v>9</v>
      </c>
      <c r="I22" s="14" t="s">
        <v>139</v>
      </c>
      <c r="J22" s="2">
        <v>7</v>
      </c>
      <c r="L22" s="2" t="s">
        <v>140</v>
      </c>
    </row>
    <row r="35" spans="1:5" ht="12.75">
      <c r="A35" s="16"/>
      <c r="B35" s="16"/>
      <c r="C35" s="16"/>
      <c r="D35" s="16"/>
      <c r="E35" s="16"/>
    </row>
    <row r="36" spans="1:5" ht="12.75">
      <c r="A36" s="19"/>
      <c r="B36" s="15"/>
      <c r="C36" s="16"/>
      <c r="D36" s="16"/>
      <c r="E36" s="16"/>
    </row>
    <row r="37" spans="1:5" ht="12.75">
      <c r="A37" s="19"/>
      <c r="B37" s="15"/>
      <c r="C37" s="16"/>
      <c r="D37" s="16"/>
    </row>
    <row r="38" spans="1:5" ht="12.75">
      <c r="A38" s="19"/>
      <c r="D38" s="16"/>
    </row>
    <row r="39" spans="1:5" ht="12.75">
      <c r="A39" s="19"/>
      <c r="D39" s="16"/>
    </row>
  </sheetData>
  <hyperlinks>
    <hyperlink ref="I2" r:id="rId1" xr:uid="{00000000-0004-0000-0000-000001000000}"/>
    <hyperlink ref="I3" r:id="rId2" xr:uid="{00000000-0004-0000-0000-000002000000}"/>
    <hyperlink ref="I4" r:id="rId3" xr:uid="{00000000-0004-0000-0000-000003000000}"/>
    <hyperlink ref="I5" r:id="rId4" xr:uid="{00000000-0004-0000-0000-000004000000}"/>
    <hyperlink ref="I6" r:id="rId5" xr:uid="{00000000-0004-0000-0000-000005000000}"/>
    <hyperlink ref="I7" r:id="rId6" xr:uid="{00000000-0004-0000-0000-000006000000}"/>
    <hyperlink ref="I8" r:id="rId7" xr:uid="{00000000-0004-0000-0000-000007000000}"/>
    <hyperlink ref="I9" r:id="rId8" xr:uid="{00000000-0004-0000-0000-000008000000}"/>
    <hyperlink ref="I10" r:id="rId9" xr:uid="{00000000-0004-0000-0000-000009000000}"/>
    <hyperlink ref="I11" r:id="rId10" xr:uid="{00000000-0004-0000-0000-00000A000000}"/>
    <hyperlink ref="I12" r:id="rId11" xr:uid="{00000000-0004-0000-0000-00000B000000}"/>
    <hyperlink ref="I13" r:id="rId12" xr:uid="{00000000-0004-0000-0000-00000C000000}"/>
    <hyperlink ref="I14" r:id="rId13" xr:uid="{00000000-0004-0000-0000-00000D000000}"/>
    <hyperlink ref="I15" r:id="rId14" xr:uid="{00000000-0004-0000-0000-00000E000000}"/>
    <hyperlink ref="I16" r:id="rId15" xr:uid="{00000000-0004-0000-0000-00000F000000}"/>
    <hyperlink ref="I17" r:id="rId16" xr:uid="{00000000-0004-0000-0000-000010000000}"/>
    <hyperlink ref="I18" r:id="rId17" xr:uid="{00000000-0004-0000-0000-000011000000}"/>
    <hyperlink ref="I19" r:id="rId18" xr:uid="{00000000-0004-0000-0000-000012000000}"/>
    <hyperlink ref="I20" r:id="rId19" xr:uid="{00000000-0004-0000-0000-000013000000}"/>
    <hyperlink ref="I21" r:id="rId20" xr:uid="{00000000-0004-0000-0000-000014000000}"/>
    <hyperlink ref="I22" r:id="rId21" xr:uid="{00000000-0004-0000-0000-00001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6"/>
  <sheetViews>
    <sheetView tabSelected="1" workbookViewId="0">
      <selection activeCell="A23" sqref="A23"/>
    </sheetView>
  </sheetViews>
  <sheetFormatPr baseColWidth="10" defaultColWidth="12.7109375" defaultRowHeight="15.75" customHeight="1"/>
  <cols>
    <col min="1" max="1" width="22.85546875" bestFit="1" customWidth="1"/>
    <col min="2" max="2" width="33.7109375" customWidth="1"/>
    <col min="4" max="4" width="15.7109375" customWidth="1"/>
    <col min="5" max="5" width="16.28515625" customWidth="1"/>
    <col min="8" max="8" width="15.28515625" customWidth="1"/>
    <col min="9" max="9" width="69.85546875" bestFit="1" customWidth="1"/>
    <col min="10" max="10" width="20.140625" customWidth="1"/>
    <col min="11" max="11" width="14.140625" customWidth="1"/>
    <col min="12" max="15" width="11.7109375" customWidth="1"/>
    <col min="16" max="16" width="166" customWidth="1"/>
  </cols>
  <sheetData>
    <row r="1" spans="1:16" ht="15">
      <c r="A1" s="20" t="s">
        <v>0</v>
      </c>
      <c r="B1" s="20" t="s">
        <v>1</v>
      </c>
      <c r="C1" s="20" t="s">
        <v>2</v>
      </c>
      <c r="D1" s="20" t="s">
        <v>3</v>
      </c>
      <c r="E1" s="20" t="s">
        <v>4</v>
      </c>
      <c r="F1" s="20" t="s">
        <v>141</v>
      </c>
      <c r="G1" s="20" t="s">
        <v>6</v>
      </c>
      <c r="H1" s="20" t="s">
        <v>142</v>
      </c>
      <c r="I1" s="20" t="s">
        <v>8</v>
      </c>
      <c r="J1" s="20" t="s">
        <v>143</v>
      </c>
      <c r="K1" s="20" t="s">
        <v>144</v>
      </c>
      <c r="L1" s="20" t="s">
        <v>145</v>
      </c>
      <c r="M1" s="20" t="s">
        <v>146</v>
      </c>
      <c r="N1" s="20" t="s">
        <v>147</v>
      </c>
      <c r="O1" s="20" t="s">
        <v>148</v>
      </c>
      <c r="P1" s="20" t="s">
        <v>11</v>
      </c>
    </row>
    <row r="2" spans="1:16" ht="15.75" customHeight="1">
      <c r="A2" s="1" t="s">
        <v>149</v>
      </c>
      <c r="B2" s="1" t="s">
        <v>150</v>
      </c>
      <c r="C2" s="1" t="s">
        <v>28</v>
      </c>
      <c r="D2" s="1" t="s">
        <v>151</v>
      </c>
      <c r="E2" s="1" t="s">
        <v>37</v>
      </c>
      <c r="F2" s="1">
        <v>70</v>
      </c>
      <c r="G2" s="1" t="s">
        <v>16</v>
      </c>
      <c r="H2" s="3">
        <v>9</v>
      </c>
      <c r="I2" s="6" t="s">
        <v>152</v>
      </c>
      <c r="J2" s="2">
        <f t="shared" ref="J2:J16" si="0">AVERAGE(L2:O2)</f>
        <v>9.375</v>
      </c>
      <c r="K2" s="2">
        <f t="shared" ref="K2:K16" si="1">RANK(J2, $J$2:$J$22)</f>
        <v>2</v>
      </c>
      <c r="L2" s="2">
        <v>9.5</v>
      </c>
      <c r="M2" s="2">
        <v>10</v>
      </c>
      <c r="N2" s="2">
        <v>9</v>
      </c>
      <c r="O2" s="2">
        <v>9</v>
      </c>
      <c r="P2" s="2" t="s">
        <v>153</v>
      </c>
    </row>
    <row r="3" spans="1:16" ht="15.75" customHeight="1">
      <c r="A3" s="1" t="s">
        <v>154</v>
      </c>
      <c r="B3" s="1" t="s">
        <v>155</v>
      </c>
      <c r="C3" s="1" t="s">
        <v>28</v>
      </c>
      <c r="D3" s="1" t="s">
        <v>156</v>
      </c>
      <c r="E3" s="1" t="s">
        <v>37</v>
      </c>
      <c r="F3" s="1">
        <v>60</v>
      </c>
      <c r="G3" s="1" t="s">
        <v>16</v>
      </c>
      <c r="H3" s="4">
        <v>46150</v>
      </c>
      <c r="I3" s="6" t="s">
        <v>157</v>
      </c>
      <c r="J3" s="2">
        <f t="shared" si="0"/>
        <v>8.5</v>
      </c>
      <c r="K3" s="2">
        <f t="shared" si="1"/>
        <v>7</v>
      </c>
      <c r="L3" s="2">
        <v>9</v>
      </c>
      <c r="M3" s="2">
        <v>9</v>
      </c>
      <c r="N3" s="2">
        <v>9</v>
      </c>
      <c r="O3" s="2">
        <v>7</v>
      </c>
      <c r="P3" s="2" t="s">
        <v>158</v>
      </c>
    </row>
    <row r="4" spans="1:16" ht="15.75" customHeight="1">
      <c r="A4" s="1" t="s">
        <v>159</v>
      </c>
      <c r="B4" s="1" t="s">
        <v>19</v>
      </c>
      <c r="C4" s="1" t="s">
        <v>28</v>
      </c>
      <c r="D4" s="1" t="s">
        <v>29</v>
      </c>
      <c r="E4" s="1" t="s">
        <v>53</v>
      </c>
      <c r="F4" s="1">
        <v>120</v>
      </c>
      <c r="G4" s="1" t="s">
        <v>23</v>
      </c>
      <c r="H4" s="3">
        <v>9</v>
      </c>
      <c r="I4" s="6" t="s">
        <v>160</v>
      </c>
      <c r="J4" s="2">
        <f t="shared" si="0"/>
        <v>8.375</v>
      </c>
      <c r="K4" s="2">
        <f t="shared" si="1"/>
        <v>9</v>
      </c>
      <c r="L4" s="2">
        <v>8.5</v>
      </c>
      <c r="M4" s="2">
        <v>9</v>
      </c>
      <c r="N4" s="2">
        <v>8</v>
      </c>
      <c r="O4" s="2">
        <v>8</v>
      </c>
      <c r="P4" s="2" t="s">
        <v>161</v>
      </c>
    </row>
    <row r="5" spans="1:16" ht="15.75" customHeight="1">
      <c r="A5" s="1" t="s">
        <v>162</v>
      </c>
      <c r="B5" s="1" t="s">
        <v>163</v>
      </c>
      <c r="C5" s="1" t="s">
        <v>28</v>
      </c>
      <c r="D5" s="1" t="s">
        <v>164</v>
      </c>
      <c r="E5" s="1" t="s">
        <v>165</v>
      </c>
      <c r="F5" s="1">
        <v>60</v>
      </c>
      <c r="G5" s="1" t="s">
        <v>16</v>
      </c>
      <c r="H5" s="3">
        <v>8</v>
      </c>
      <c r="I5" s="6" t="s">
        <v>166</v>
      </c>
      <c r="J5" s="2">
        <f t="shared" si="0"/>
        <v>9.25</v>
      </c>
      <c r="K5" s="2">
        <f t="shared" si="1"/>
        <v>3</v>
      </c>
      <c r="L5" s="2">
        <v>9</v>
      </c>
      <c r="M5" s="2">
        <v>10</v>
      </c>
      <c r="N5" s="2">
        <v>8</v>
      </c>
      <c r="O5" s="2">
        <v>10</v>
      </c>
      <c r="P5" s="2" t="s">
        <v>167</v>
      </c>
    </row>
    <row r="6" spans="1:16" ht="15.75" customHeight="1">
      <c r="A6" s="1" t="s">
        <v>168</v>
      </c>
      <c r="B6" s="1" t="s">
        <v>169</v>
      </c>
      <c r="C6" s="1" t="s">
        <v>28</v>
      </c>
      <c r="D6" s="1" t="s">
        <v>170</v>
      </c>
      <c r="E6" s="1" t="s">
        <v>171</v>
      </c>
      <c r="F6" s="1">
        <v>90</v>
      </c>
      <c r="G6" s="1" t="s">
        <v>16</v>
      </c>
      <c r="H6" s="3">
        <v>9</v>
      </c>
      <c r="I6" s="9" t="s">
        <v>172</v>
      </c>
      <c r="J6" s="2">
        <f t="shared" si="0"/>
        <v>8.75</v>
      </c>
      <c r="K6" s="2">
        <f t="shared" si="1"/>
        <v>5</v>
      </c>
      <c r="L6" s="2">
        <v>9</v>
      </c>
      <c r="M6" s="2">
        <v>8</v>
      </c>
      <c r="N6" s="2">
        <v>9</v>
      </c>
      <c r="O6" s="2">
        <v>9</v>
      </c>
      <c r="P6" s="2" t="s">
        <v>173</v>
      </c>
    </row>
    <row r="7" spans="1:16" ht="15.75" customHeight="1">
      <c r="A7" s="1" t="s">
        <v>174</v>
      </c>
      <c r="B7" s="1" t="s">
        <v>163</v>
      </c>
      <c r="C7" s="1" t="s">
        <v>28</v>
      </c>
      <c r="D7" s="1" t="s">
        <v>175</v>
      </c>
      <c r="E7" s="1" t="s">
        <v>37</v>
      </c>
      <c r="F7" s="1">
        <v>90</v>
      </c>
      <c r="G7" s="1" t="s">
        <v>16</v>
      </c>
      <c r="H7" s="4">
        <v>46149</v>
      </c>
      <c r="I7" s="9" t="s">
        <v>176</v>
      </c>
      <c r="J7" s="2">
        <f t="shared" si="0"/>
        <v>8.25</v>
      </c>
      <c r="K7" s="2">
        <f t="shared" si="1"/>
        <v>10</v>
      </c>
      <c r="L7" s="2">
        <v>8</v>
      </c>
      <c r="M7" s="2">
        <v>9</v>
      </c>
      <c r="N7" s="2">
        <v>8</v>
      </c>
      <c r="O7" s="2">
        <v>8</v>
      </c>
      <c r="P7" s="2" t="s">
        <v>177</v>
      </c>
    </row>
    <row r="8" spans="1:16" ht="15.75" customHeight="1">
      <c r="A8" s="1" t="s">
        <v>178</v>
      </c>
      <c r="B8" s="1" t="s">
        <v>179</v>
      </c>
      <c r="C8" s="1" t="s">
        <v>28</v>
      </c>
      <c r="D8" s="1" t="s">
        <v>180</v>
      </c>
      <c r="E8" s="1" t="s">
        <v>111</v>
      </c>
      <c r="F8" s="1">
        <v>90</v>
      </c>
      <c r="G8" s="1" t="s">
        <v>16</v>
      </c>
      <c r="H8" s="4">
        <v>46150</v>
      </c>
      <c r="I8" s="9" t="s">
        <v>181</v>
      </c>
      <c r="J8" s="2">
        <f t="shared" si="0"/>
        <v>8</v>
      </c>
      <c r="K8" s="2">
        <f t="shared" si="1"/>
        <v>12</v>
      </c>
      <c r="L8" s="2">
        <v>8</v>
      </c>
      <c r="M8" s="2">
        <v>8</v>
      </c>
      <c r="N8" s="2">
        <v>7</v>
      </c>
      <c r="O8" s="2">
        <v>9</v>
      </c>
      <c r="P8" s="2" t="s">
        <v>182</v>
      </c>
    </row>
    <row r="9" spans="1:16" ht="15.75" customHeight="1">
      <c r="A9" s="1" t="s">
        <v>183</v>
      </c>
      <c r="B9" s="1" t="s">
        <v>131</v>
      </c>
      <c r="C9" s="1" t="s">
        <v>132</v>
      </c>
      <c r="D9" s="1" t="s">
        <v>184</v>
      </c>
      <c r="E9" s="1" t="s">
        <v>37</v>
      </c>
      <c r="F9" s="1">
        <v>80</v>
      </c>
      <c r="G9" s="1" t="s">
        <v>16</v>
      </c>
      <c r="H9" s="4">
        <v>46149</v>
      </c>
      <c r="I9" s="9" t="s">
        <v>185</v>
      </c>
      <c r="J9" s="2">
        <f t="shared" si="0"/>
        <v>8.5</v>
      </c>
      <c r="K9" s="2">
        <f t="shared" si="1"/>
        <v>7</v>
      </c>
      <c r="L9" s="2">
        <v>8</v>
      </c>
      <c r="M9" s="2">
        <v>9</v>
      </c>
      <c r="N9" s="2">
        <v>9</v>
      </c>
      <c r="O9" s="2">
        <v>8</v>
      </c>
      <c r="P9" s="2" t="s">
        <v>186</v>
      </c>
    </row>
    <row r="10" spans="1:16" ht="15.75" customHeight="1">
      <c r="A10" s="1" t="s">
        <v>187</v>
      </c>
      <c r="B10" s="1" t="s">
        <v>188</v>
      </c>
      <c r="C10" s="1" t="s">
        <v>28</v>
      </c>
      <c r="D10" s="1" t="s">
        <v>189</v>
      </c>
      <c r="E10" s="1" t="s">
        <v>190</v>
      </c>
      <c r="F10" s="1">
        <v>70</v>
      </c>
      <c r="G10" s="1" t="s">
        <v>23</v>
      </c>
      <c r="H10" s="4">
        <v>46149</v>
      </c>
      <c r="I10" s="9" t="s">
        <v>191</v>
      </c>
      <c r="J10" s="2">
        <f t="shared" si="0"/>
        <v>7.5</v>
      </c>
      <c r="K10" s="2">
        <f t="shared" si="1"/>
        <v>13</v>
      </c>
      <c r="L10" s="2">
        <v>7</v>
      </c>
      <c r="M10" s="2">
        <v>8</v>
      </c>
      <c r="N10" s="2">
        <v>7</v>
      </c>
      <c r="O10" s="2">
        <v>8</v>
      </c>
    </row>
    <row r="11" spans="1:16" ht="15.75" customHeight="1">
      <c r="A11" s="1" t="s">
        <v>192</v>
      </c>
      <c r="B11" s="1" t="s">
        <v>193</v>
      </c>
      <c r="C11" s="1" t="s">
        <v>28</v>
      </c>
      <c r="D11" s="1" t="s">
        <v>194</v>
      </c>
      <c r="E11" s="1" t="s">
        <v>195</v>
      </c>
      <c r="F11" s="1">
        <v>60</v>
      </c>
      <c r="G11" s="1" t="s">
        <v>16</v>
      </c>
      <c r="H11" s="4">
        <v>46148</v>
      </c>
      <c r="I11" s="9" t="s">
        <v>196</v>
      </c>
      <c r="J11" s="2">
        <f t="shared" si="0"/>
        <v>6.75</v>
      </c>
      <c r="K11" s="2">
        <f t="shared" si="1"/>
        <v>15</v>
      </c>
      <c r="L11" s="2">
        <v>7</v>
      </c>
      <c r="M11" s="2">
        <v>7</v>
      </c>
      <c r="N11" s="2">
        <v>7</v>
      </c>
      <c r="O11" s="2">
        <v>6</v>
      </c>
      <c r="P11" s="2" t="s">
        <v>197</v>
      </c>
    </row>
    <row r="12" spans="1:16" ht="15">
      <c r="A12" s="1" t="s">
        <v>198</v>
      </c>
      <c r="B12" s="1" t="s">
        <v>199</v>
      </c>
      <c r="C12" s="1" t="s">
        <v>200</v>
      </c>
      <c r="D12" s="1" t="s">
        <v>201</v>
      </c>
      <c r="E12" s="1" t="s">
        <v>138</v>
      </c>
      <c r="F12" s="1">
        <v>75</v>
      </c>
      <c r="G12" s="1" t="s">
        <v>202</v>
      </c>
      <c r="H12" s="17">
        <v>46150</v>
      </c>
      <c r="I12" s="14" t="s">
        <v>203</v>
      </c>
      <c r="J12" s="2">
        <f t="shared" si="0"/>
        <v>8.125</v>
      </c>
      <c r="K12" s="2">
        <f t="shared" si="1"/>
        <v>11</v>
      </c>
      <c r="L12" s="2">
        <v>8</v>
      </c>
      <c r="M12" s="2">
        <v>8</v>
      </c>
      <c r="N12" s="2">
        <v>8</v>
      </c>
      <c r="O12" s="2">
        <v>8.5</v>
      </c>
      <c r="P12" s="2" t="s">
        <v>204</v>
      </c>
    </row>
    <row r="13" spans="1:16" ht="15">
      <c r="A13" s="1" t="s">
        <v>205</v>
      </c>
      <c r="B13" s="1" t="s">
        <v>199</v>
      </c>
      <c r="C13" s="1" t="s">
        <v>200</v>
      </c>
      <c r="D13" s="1" t="s">
        <v>201</v>
      </c>
      <c r="E13" s="1" t="s">
        <v>138</v>
      </c>
      <c r="F13" s="1">
        <v>90</v>
      </c>
      <c r="G13" s="1" t="s">
        <v>202</v>
      </c>
      <c r="H13" s="17">
        <v>46150</v>
      </c>
      <c r="I13" s="14" t="s">
        <v>206</v>
      </c>
      <c r="J13" s="2">
        <f t="shared" si="0"/>
        <v>7.375</v>
      </c>
      <c r="K13" s="2">
        <f t="shared" si="1"/>
        <v>14</v>
      </c>
      <c r="L13" s="2">
        <v>7</v>
      </c>
      <c r="M13" s="2">
        <v>7.5</v>
      </c>
      <c r="N13" s="2">
        <v>7.5</v>
      </c>
      <c r="O13" s="2">
        <v>7.5</v>
      </c>
      <c r="P13" s="2" t="s">
        <v>207</v>
      </c>
    </row>
    <row r="14" spans="1:16" ht="15.75" customHeight="1">
      <c r="A14" s="1" t="s">
        <v>208</v>
      </c>
      <c r="B14" s="1" t="s">
        <v>209</v>
      </c>
      <c r="C14" s="1" t="s">
        <v>210</v>
      </c>
      <c r="D14" s="1" t="s">
        <v>111</v>
      </c>
      <c r="E14" s="1" t="s">
        <v>111</v>
      </c>
      <c r="F14" s="1">
        <v>360</v>
      </c>
      <c r="G14" s="1" t="s">
        <v>54</v>
      </c>
      <c r="H14" s="3">
        <v>10</v>
      </c>
      <c r="I14" s="21" t="s">
        <v>211</v>
      </c>
      <c r="J14" s="2">
        <f t="shared" si="0"/>
        <v>10</v>
      </c>
      <c r="K14" s="2">
        <f t="shared" si="1"/>
        <v>1</v>
      </c>
      <c r="L14" s="2">
        <v>10</v>
      </c>
      <c r="M14" s="2">
        <v>10</v>
      </c>
      <c r="N14" s="2">
        <v>10</v>
      </c>
      <c r="O14" s="2">
        <v>10</v>
      </c>
      <c r="P14" s="22" t="s">
        <v>212</v>
      </c>
    </row>
    <row r="15" spans="1:16" ht="15.75" customHeight="1">
      <c r="A15" s="1" t="s">
        <v>12</v>
      </c>
      <c r="B15" s="1" t="s">
        <v>13</v>
      </c>
      <c r="C15" s="1" t="s">
        <v>14</v>
      </c>
      <c r="D15" s="1" t="s">
        <v>213</v>
      </c>
      <c r="E15" s="1" t="s">
        <v>15</v>
      </c>
      <c r="F15" s="1">
        <v>80</v>
      </c>
      <c r="G15" s="1" t="s">
        <v>16</v>
      </c>
      <c r="H15" s="4">
        <v>46062</v>
      </c>
      <c r="I15" s="5" t="s">
        <v>17</v>
      </c>
      <c r="J15" s="2">
        <f t="shared" si="0"/>
        <v>8.75</v>
      </c>
      <c r="K15" s="2">
        <f t="shared" si="1"/>
        <v>5</v>
      </c>
      <c r="L15" s="2">
        <v>9.5</v>
      </c>
      <c r="M15" s="2">
        <v>9.5</v>
      </c>
      <c r="N15" s="2">
        <v>8</v>
      </c>
      <c r="O15" s="2">
        <v>8</v>
      </c>
      <c r="P15" s="22" t="s">
        <v>214</v>
      </c>
    </row>
    <row r="16" spans="1:16" ht="15.75" customHeight="1">
      <c r="A16" s="1" t="s">
        <v>216</v>
      </c>
      <c r="B16" s="1" t="s">
        <v>217</v>
      </c>
      <c r="C16" s="1" t="s">
        <v>14</v>
      </c>
      <c r="D16" s="1" t="s">
        <v>111</v>
      </c>
      <c r="E16" s="1" t="s">
        <v>111</v>
      </c>
      <c r="F16" s="1">
        <v>120</v>
      </c>
      <c r="G16" s="1" t="s">
        <v>16</v>
      </c>
      <c r="H16" s="1" t="s">
        <v>218</v>
      </c>
      <c r="I16" s="23" t="s">
        <v>219</v>
      </c>
      <c r="J16" s="2">
        <f t="shared" si="0"/>
        <v>9.25</v>
      </c>
      <c r="K16" s="2">
        <f t="shared" si="1"/>
        <v>3</v>
      </c>
      <c r="L16" s="2">
        <v>9</v>
      </c>
      <c r="M16" s="2">
        <v>9</v>
      </c>
      <c r="N16" s="2">
        <v>9</v>
      </c>
      <c r="O16" s="2">
        <v>10</v>
      </c>
      <c r="P16" s="22" t="s">
        <v>215</v>
      </c>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location="reserva-roomions" xr:uid="{00000000-0004-0000-0100-00000A000000}"/>
    <hyperlink ref="I13" r:id="rId12" xr:uid="{00000000-0004-0000-0100-00000B000000}"/>
    <hyperlink ref="I14" r:id="rId13" xr:uid="{E4DAB110-E83E-4DEC-A2CC-8650550F459C}"/>
    <hyperlink ref="I15" r:id="rId14" xr:uid="{00000000-0004-0000-0000-000000000000}"/>
    <hyperlink ref="I16" r:id="rId15" xr:uid="{97E800A5-A381-4541-8F47-9D0EB00728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Hechos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Borras Martinez, Isaac</cp:lastModifiedBy>
  <dcterms:modified xsi:type="dcterms:W3CDTF">2026-06-22T07:59:48Z</dcterms:modified>
</cp:coreProperties>
</file>